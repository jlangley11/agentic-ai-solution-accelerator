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VSCode\agentic-ai-solution-accelerator\sample-discovery-artifacts\"/>
    </mc:Choice>
  </mc:AlternateContent>
  <xr:revisionPtr revIDLastSave="0" documentId="13_ncr:1_{EBA4F7AE-9997-4455-8D4B-452ADE317CBF}" xr6:coauthVersionLast="47" xr6:coauthVersionMax="47" xr10:uidLastSave="{00000000-0000-0000-0000-000000000000}"/>
  <bookViews>
    <workbookView xWindow="3040" yWindow="3040" windowWidth="18720" windowHeight="11650" xr2:uid="{00000000-000D-0000-FFFF-FFFF00000000}"/>
  </bookViews>
  <sheets>
    <sheet name="README" sheetId="1" r:id="rId1"/>
    <sheet name="Inputs" sheetId="2" r:id="rId2"/>
    <sheet name="ROI" sheetId="3" r:id="rId3"/>
    <sheet name="KP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6" i="4"/>
  <c r="D5" i="4"/>
  <c r="C5" i="4"/>
  <c r="C33" i="3"/>
  <c r="B33" i="3"/>
  <c r="C32" i="3"/>
  <c r="B32" i="3"/>
  <c r="C31" i="3"/>
  <c r="C30" i="3"/>
  <c r="C29" i="3"/>
  <c r="B16" i="3"/>
  <c r="B11" i="3"/>
  <c r="B10" i="3"/>
  <c r="B6" i="3"/>
  <c r="B5" i="3"/>
  <c r="D33" i="3" l="1"/>
  <c r="D32" i="3"/>
  <c r="B12" i="3"/>
  <c r="B18" i="3" s="1"/>
  <c r="B7" i="3"/>
  <c r="B15" i="3" s="1"/>
  <c r="B17" i="3" s="1"/>
  <c r="B19" i="3" s="1"/>
  <c r="B23" i="3" l="1"/>
  <c r="B24" i="3"/>
  <c r="B30" i="3"/>
  <c r="D30" i="3" s="1"/>
  <c r="B31" i="3"/>
  <c r="D31" i="3" s="1"/>
  <c r="B25" i="3"/>
  <c r="B29" i="3"/>
  <c r="D29" i="3" s="1"/>
  <c r="E29" i="3" s="1"/>
  <c r="E30" i="3" l="1"/>
  <c r="E31" i="3" s="1"/>
  <c r="E32" i="3" s="1"/>
  <c r="E3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Contoso Procurement Operations workshop, 2026-04-30, supplier-risk discovery sample.</t>
        </r>
      </text>
    </comment>
    <comment ref="B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Contoso Finance loaded-cost proxy shared for QA sample, 2026-04-30.</t>
        </r>
      </text>
    </comment>
    <comment ref="B1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March 2026 time study over 120 sampled supplier reviews, shared in discovery sample.</t>
        </r>
      </text>
    </comment>
    <comment ref="B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Source: Sponsor target for pilot exit, captured in discovery sample.</t>
        </r>
      </text>
    </comment>
    <comment ref="B2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Source: Partner discovery estimate pending Azure pricing calculator refinement.</t>
        </r>
      </text>
    </comment>
    <comment ref="B2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Source: Contoso steady-state forecast from 130 reviews/week plus follow-up calls.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Partner fixed-fee implementation assumption for QA sample, 2026-04-30.</t>
        </r>
      </text>
    </comment>
  </commentList>
</comments>
</file>

<file path=xl/sharedStrings.xml><?xml version="1.0" encoding="utf-8"?>
<sst xmlns="http://schemas.openxmlformats.org/spreadsheetml/2006/main" count="146" uniqueCount="137">
  <si>
    <t>Discovery ROI calculator</t>
  </si>
  <si>
    <t>Partner-editable workbook that turns discovery answers into a signed-off ROI hypothesis and a copy-guide for the kpis[] block in accelerator.yaml.</t>
  </si>
  <si>
    <t>How to use:</t>
  </si>
  <si>
    <t xml:space="preserve">  1. Open 'Inputs' and fill every BLUE cell. YELLOW-highlighted cells are must-fill.</t>
  </si>
  <si>
    <t xml:space="preserve">  2. Read 'ROI' for annual savings, payback, and 3-year cumulative impact.</t>
  </si>
  <si>
    <t xml:space="preserve">  3. Read 'KPIs' — rows 5-7 render baseline/target values; hand-copy them into</t>
  </si>
  <si>
    <t xml:space="preserve">     accelerator.yaml:kpis[] using the template in row 14. (Not paste-ready —</t>
  </si>
  <si>
    <t xml:space="preserve">     Excel does not expand cell addresses into text when you copy out of a cell.)</t>
  </si>
  <si>
    <t xml:space="preserve">  4. Attach this file to docs/discovery/solution-brief.md §4 as the ROI hypothesis source.</t>
  </si>
  <si>
    <t>Conventions (industry-standard financial-model colors):</t>
  </si>
  <si>
    <t xml:space="preserve">  BLUE cells       = hardcoded inputs you edit per customer</t>
  </si>
  <si>
    <t xml:space="preserve">  BLACK cells      = formulas (do not hand-edit)</t>
  </si>
  <si>
    <t xml:space="preserve">  GREEN cells      = links from other sheets in this workbook</t>
  </si>
  <si>
    <t xml:space="preserve">  YELLOW fill      = must-fill assumption; workbook returns 0 until filled</t>
  </si>
  <si>
    <t>Honesty notes:</t>
  </si>
  <si>
    <t xml:space="preserve">  * This is a first-pass ROI *hypothesis*, not a signed business case. Expect to</t>
  </si>
  <si>
    <t xml:space="preserve">    update baseline/target numbers after pilot evals run against golden cases.</t>
  </si>
  <si>
    <t xml:space="preserve">  * Cost-avoidance and throughput gains are modeled; revenue lift is modeled but</t>
  </si>
  <si>
    <t xml:space="preserve">    typically needs customer attribution data the partner does not have at discovery.</t>
  </si>
  <si>
    <t xml:space="preserve">  * Azure run-cost is a placeholder input on the 'Inputs' sheet. Partners refine it</t>
  </si>
  <si>
    <t xml:space="preserve">    using the Azure pricing calculator once architecture is confirmed during scaffold.</t>
  </si>
  <si>
    <t xml:space="preserve">  * The KPIs sheet renders rows that mirror the accelerator.yaml:kpis schema</t>
  </si>
  <si>
    <t xml:space="preserve">    (name / type / baseline / target). The 'type' column accepts duration_ms or ratio</t>
  </si>
  <si>
    <t xml:space="preserve">    today because those are the only types wired into src/accelerator_baseline/telemetry.py.</t>
  </si>
  <si>
    <t>Related artifacts:</t>
  </si>
  <si>
    <t xml:space="preserve">  * docs/discovery/use-case-canvas.md       — 1-page exec alignment, before workshop</t>
  </si>
  <si>
    <t xml:space="preserve">  * docs/discovery/discovery-workbook.csv   — structured workshop capture</t>
  </si>
  <si>
    <t xml:space="preserve">  * docs/discovery/solution-brief.md        — canonical output of /discover-scenario</t>
  </si>
  <si>
    <t xml:space="preserve">  * docs/discovery/SOLUTION-BRIEF-GUIDE.md  — how to run the workshop</t>
  </si>
  <si>
    <t xml:space="preserve">  * docs/discovery/how-to-use.md            — sequencing across all five artifacts</t>
  </si>
  <si>
    <t>Inputs</t>
  </si>
  <si>
    <t>Edit BLUE cells. Units are noted per row. Cells with YELLOW fill are must-fill; leaving them blank leaves ROI at zero.</t>
  </si>
  <si>
    <t>Input</t>
  </si>
  <si>
    <t>Value</t>
  </si>
  <si>
    <t>Unit</t>
  </si>
  <si>
    <t>Notes</t>
  </si>
  <si>
    <t>1. Engagement framing</t>
  </si>
  <si>
    <t>Customer name</t>
  </si>
  <si>
    <t>Contoso Manufacturing, Inc.</t>
  </si>
  <si>
    <t>text</t>
  </si>
  <si>
    <t>Used on every sheet header. Partner fills during kickoff.</t>
  </si>
  <si>
    <t>Engagement start date</t>
  </si>
  <si>
    <t>date</t>
  </si>
  <si>
    <t>Anchor for 1Y / 3Y savings projections.</t>
  </si>
  <si>
    <t>Analysis horizon</t>
  </si>
  <si>
    <t>years</t>
  </si>
  <si>
    <t>Default 3 years; edit if customer's business case runs longer.</t>
  </si>
  <si>
    <t>Discount rate (annual)</t>
  </si>
  <si>
    <t>ratio</t>
  </si>
  <si>
    <t>WACC or partner-standard hurdle rate. 0.08 = 8%.</t>
  </si>
  <si>
    <t>2. Manual status-quo cost</t>
  </si>
  <si>
    <t>FTEs doing this work today</t>
  </si>
  <si>
    <t>count</t>
  </si>
  <si>
    <t>Integer count. Include only FTEs whose time the agent displaces.</t>
  </si>
  <si>
    <t>Fully-loaded annual cost per FTE</t>
  </si>
  <si>
    <t>$/yr</t>
  </si>
  <si>
    <t>Base + benefits + overhead. Use customer HR figure if shared; else market proxy.</t>
  </si>
  <si>
    <t>% of FTE time spent on this process</t>
  </si>
  <si>
    <t>0.0 – 1.0. Default 0.5 = half of each person's time is on this process.</t>
  </si>
  <si>
    <t>Transactions per year (if different denominator)</t>
  </si>
  <si>
    <t>Leave 0 if FTE-based. Only filled if cost model is $/transaction × volume.</t>
  </si>
  <si>
    <t>Cost per transaction (manual, if using that model)</t>
  </si>
  <si>
    <t>$/txn</t>
  </si>
  <si>
    <t>Leave 0 if FTE-based. Pairs with the row above.</t>
  </si>
  <si>
    <t>3. Agent target performance</t>
  </si>
  <si>
    <t>Time per task today (manual)</t>
  </si>
  <si>
    <t>minutes</t>
  </si>
  <si>
    <t>Median, not best case. Feeds briefing_production_time KPI.</t>
  </si>
  <si>
    <t>Time per task with agent (target)</t>
  </si>
  <si>
    <t>Target after GA. Must be achievable under acceptance.p95_latency_ms.</t>
  </si>
  <si>
    <t>Target % of cases agent handles end-to-end</t>
  </si>
  <si>
    <t>The rest stay human or route through HITL. 0.0 – 1.0.</t>
  </si>
  <si>
    <t>HITL approval rate (target)</t>
  </si>
  <si>
    <t>Fraction of agent drafts expected to ship as-is after review. Mirrors accelerator.yaml:kpis.hitl_approval_rate.</t>
  </si>
  <si>
    <t>4. Azure + agent run cost</t>
  </si>
  <si>
    <t>Estimated Azure run cost (monthly)</t>
  </si>
  <si>
    <t>$/mo</t>
  </si>
  <si>
    <t>Placeholder. Refine using Azure pricing calculator after /configure-landing-zone.</t>
  </si>
  <si>
    <t>Cost per agent call (target)</t>
  </si>
  <si>
    <t>$/call</t>
  </si>
  <si>
    <t>Must be ≤ accelerator.yaml:acceptance.cost_per_call_usd. Default matches shipped 0.40.</t>
  </si>
  <si>
    <t>Monthly agent call volume</t>
  </si>
  <si>
    <t>calls/mo</t>
  </si>
  <si>
    <t>Expected steady-state call volume post-GA. Drives run-cost sanity check.</t>
  </si>
  <si>
    <t>5. Optional revenue lift</t>
  </si>
  <si>
    <t>Target revenue lift (annual, if attributable)</t>
  </si>
  <si>
    <t>Often unknown at discovery. Leave 0 unless customer has attribution data.</t>
  </si>
  <si>
    <t>ROI model</t>
  </si>
  <si>
    <t>Formulas reference "Inputs" (GREEN = cross-sheet link). Revisit after pilot to reconcile against measured performance.</t>
  </si>
  <si>
    <t>A. Manual status-quo annual cost</t>
  </si>
  <si>
    <t>FTE-based component</t>
  </si>
  <si>
    <t>Transaction-based component</t>
  </si>
  <si>
    <t>Total manual cost (annual)</t>
  </si>
  <si>
    <t>B. Agent annual run cost</t>
  </si>
  <si>
    <t>Annual Azure run cost (infra)</t>
  </si>
  <si>
    <t>Annual agent call cost (LLM + tool)</t>
  </si>
  <si>
    <t>Total agent run cost (annual)</t>
  </si>
  <si>
    <t>C. Annual impact</t>
  </si>
  <si>
    <t>Labor savings (coverage × manual cost)</t>
  </si>
  <si>
    <t>Revenue lift (input)</t>
  </si>
  <si>
    <t>Gross annual benefit</t>
  </si>
  <si>
    <t>Less: agent run cost</t>
  </si>
  <si>
    <t>Net annual impact</t>
  </si>
  <si>
    <t>D. Payback &amp; NPV</t>
  </si>
  <si>
    <t>One-time implementation cost (optional)</t>
  </si>
  <si>
    <t>edit if partner has a fixed-fee component</t>
  </si>
  <si>
    <t>Simple payback (months)</t>
  </si>
  <si>
    <t>Shows 'no payback at current inputs' if annual impact is negative.</t>
  </si>
  <si>
    <t>3-year cumulative net impact</t>
  </si>
  <si>
    <t>NPV over horizon</t>
  </si>
  <si>
    <t>E. Yearly cashflow schedule (up to 5 years)</t>
  </si>
  <si>
    <t>Year</t>
  </si>
  <si>
    <t>Net impact</t>
  </si>
  <si>
    <t>Discount factor</t>
  </si>
  <si>
    <t>PV of year</t>
  </si>
  <si>
    <t>Cumulative PV</t>
  </si>
  <si>
    <t>Year 1</t>
  </si>
  <si>
    <t>Year 2</t>
  </si>
  <si>
    <t>Year 3</t>
  </si>
  <si>
    <t>Year 4</t>
  </si>
  <si>
    <t>Year 5</t>
  </si>
  <si>
    <t>KPI copy-guide — hand-copy values from rows 5-7 into accelerator.yaml:kpis</t>
  </si>
  <si>
    <t>Mirrors the kpis[] schema: {name, type, baseline, target}. Only duration_ms and ratio are wired into src/accelerator_baseline/telemetry.py today; other types require partner code.</t>
  </si>
  <si>
    <t>KPI event name</t>
  </si>
  <si>
    <t>type</t>
  </si>
  <si>
    <t>baseline</t>
  </si>
  <si>
    <t>target</t>
  </si>
  <si>
    <t>supplier_review_cycle_time</t>
  </si>
  <si>
    <t>duration_ms</t>
  </si>
  <si>
    <t>Time from supplier review intake to analyst-ready recommendation. Sourced from Inputs section 3.</t>
  </si>
  <si>
    <t>autonomous_triage_coverage</t>
  </si>
  <si>
    <t>Fraction of supplier-review cases handled end-to-end through draft recommendation with HITL.</t>
  </si>
  <si>
    <t>hitl_approval_rate</t>
  </si>
  <si>
    <t>Fraction of agent drafts approved as-is after human review.</t>
  </si>
  <si>
    <t>Copy guide — hand-copy the numeric values from rows 5-7 above</t>
  </si>
  <si>
    <t>After you fill Inputs, each row above renders a baseline and target value. Hand-copy those numbers into accelerator.yaml:kpis using the template below. This is NOT a paste-ready block — Excel does not expand cell addresses into values when you copy text out of a cell.</t>
  </si>
  <si>
    <t xml:space="preserve">kpis:
  - name: supplier_review_cycle_time
    type: duration_ms
    baseline: &lt;copy C5 as integer ms&gt;
    target:   &lt;copy D5 as integer ms&gt;
  - name: autonomous_triage_coverage
    type: ratio
    baseline: 0.0
    target:   &lt;copy D6 as decimal, e.g. 0.72&gt;
  - name: hitl_approval_rate
    type: ratio
    baseline: 1.0
    target:   &lt;copy D7 as decimal, e.g. 0.88&gt;
# cost_per_call_usd belongs in accelerator.yaml:acceptance, not kpis[].
# acceptance.cost_per_call_usd: &lt;copy Inputs!B23 as decimal&gt;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</si>
</sst>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6" formatCode="\$#,##0;\(\$#,##0\);&quot;-&quot;"/>
    <numFmt numFmtId="169" formatCode="#,##0.0\ &quot;mo&quot;"/>
    <numFmt numFmtId="170" formatCode="0.000"/>
    <numFmt numFmtId="171" formatCode="yyyy\-mm\-dd"/>
    <numFmt numFmtId="172" formatCode="#,##0;\(#,##0\);\-"/>
    <numFmt numFmtId="173" formatCode="\$#,##0.00;\(\$#,##0.00\);\-"/>
    <numFmt numFmtId="174" formatCode="0.0%"/>
    <numFmt numFmtId="175" formatCode="\$#,##0;\(\$#,##0\);\-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/>
    <xf numFmtId="0" fontId="0" fillId="3" borderId="0" xfId="0" applyFill="1"/>
    <xf numFmtId="0" fontId="2" fillId="0" borderId="0" xfId="0" applyFont="1"/>
    <xf numFmtId="0" fontId="5" fillId="0" borderId="0" xfId="0" applyFont="1"/>
    <xf numFmtId="164" fontId="5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6" fontId="3" fillId="0" borderId="0" xfId="0" applyNumberFormat="1" applyFont="1"/>
    <xf numFmtId="166" fontId="2" fillId="0" borderId="0" xfId="0" applyNumberFormat="1" applyFont="1"/>
    <xf numFmtId="169" fontId="0" fillId="0" borderId="0" xfId="0" applyNumberFormat="1"/>
    <xf numFmtId="166" fontId="0" fillId="0" borderId="0" xfId="0" applyNumberFormat="1"/>
    <xf numFmtId="170" fontId="0" fillId="0" borderId="0" xfId="0" applyNumberFormat="1"/>
    <xf numFmtId="0" fontId="7" fillId="0" borderId="0" xfId="0" applyFont="1" applyAlignment="1">
      <alignment vertical="top" wrapText="1"/>
    </xf>
    <xf numFmtId="171" fontId="5" fillId="4" borderId="0" xfId="0" applyNumberFormat="1" applyFont="1" applyFill="1"/>
    <xf numFmtId="174" fontId="5" fillId="0" borderId="0" xfId="0" applyNumberFormat="1" applyFont="1"/>
    <xf numFmtId="172" fontId="5" fillId="4" borderId="0" xfId="0" applyNumberFormat="1" applyFont="1" applyFill="1"/>
    <xf numFmtId="173" fontId="5" fillId="4" borderId="0" xfId="0" applyNumberFormat="1" applyFont="1" applyFill="1"/>
    <xf numFmtId="172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72" fontId="6" fillId="0" borderId="0" xfId="0" applyNumberFormat="1" applyFont="1"/>
    <xf numFmtId="17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defaultRowHeight="14.5" x14ac:dyDescent="0.35"/>
  <cols>
    <col min="1" max="1" width="110" customWidth="1"/>
  </cols>
  <sheetData>
    <row r="1" spans="1:1" ht="18" x14ac:dyDescent="0.35">
      <c r="A1" s="1" t="s">
        <v>0</v>
      </c>
    </row>
    <row r="2" spans="1:1" x14ac:dyDescent="0.35">
      <c r="A2" s="2"/>
    </row>
    <row r="3" spans="1:1" ht="28" x14ac:dyDescent="0.35">
      <c r="A3" s="2" t="s">
        <v>1</v>
      </c>
    </row>
    <row r="4" spans="1:1" x14ac:dyDescent="0.35">
      <c r="A4" s="2"/>
    </row>
    <row r="5" spans="1:1" x14ac:dyDescent="0.35">
      <c r="A5" s="3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3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/>
    </row>
    <row r="19" spans="1:1" x14ac:dyDescent="0.35">
      <c r="A19" s="3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  <row r="26" spans="1:1" x14ac:dyDescent="0.35">
      <c r="A26" s="2" t="s">
        <v>21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/>
    </row>
    <row r="30" spans="1:1" x14ac:dyDescent="0.35">
      <c r="A30" s="3" t="s">
        <v>24</v>
      </c>
    </row>
    <row r="31" spans="1:1" x14ac:dyDescent="0.35">
      <c r="A31" s="2" t="s">
        <v>25</v>
      </c>
    </row>
    <row r="32" spans="1:1" x14ac:dyDescent="0.35">
      <c r="A32" s="2" t="s">
        <v>26</v>
      </c>
    </row>
    <row r="33" spans="1:1" x14ac:dyDescent="0.35">
      <c r="A33" s="2" t="s">
        <v>27</v>
      </c>
    </row>
    <row r="34" spans="1:1" x14ac:dyDescent="0.35">
      <c r="A34" s="2" t="s">
        <v>28</v>
      </c>
    </row>
    <row r="35" spans="1:1" x14ac:dyDescent="0.35">
      <c r="A35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5" x14ac:dyDescent="0.35"/>
  <cols>
    <col min="1" max="1" width="42" customWidth="1"/>
    <col min="2" max="2" width="20" customWidth="1"/>
    <col min="3" max="3" width="16" customWidth="1"/>
    <col min="4" max="4" width="60" customWidth="1"/>
  </cols>
  <sheetData>
    <row r="1" spans="1:4" ht="18" x14ac:dyDescent="0.4">
      <c r="A1" s="4" t="s">
        <v>30</v>
      </c>
    </row>
    <row r="2" spans="1:4" ht="30" customHeight="1" x14ac:dyDescent="0.35">
      <c r="A2" s="5" t="s">
        <v>31</v>
      </c>
    </row>
    <row r="4" spans="1:4" x14ac:dyDescent="0.35">
      <c r="A4" s="6" t="s">
        <v>32</v>
      </c>
      <c r="B4" s="6" t="s">
        <v>33</v>
      </c>
      <c r="C4" s="6" t="s">
        <v>34</v>
      </c>
      <c r="D4" s="6" t="s">
        <v>35</v>
      </c>
    </row>
    <row r="5" spans="1:4" x14ac:dyDescent="0.35">
      <c r="A5" s="7" t="s">
        <v>36</v>
      </c>
      <c r="B5" s="8"/>
      <c r="C5" s="8"/>
      <c r="D5" s="8"/>
    </row>
    <row r="6" spans="1:4" x14ac:dyDescent="0.35">
      <c r="A6" s="9" t="s">
        <v>37</v>
      </c>
      <c r="B6" s="10" t="s">
        <v>38</v>
      </c>
      <c r="C6" s="9" t="s">
        <v>39</v>
      </c>
      <c r="D6" s="2" t="s">
        <v>40</v>
      </c>
    </row>
    <row r="7" spans="1:4" x14ac:dyDescent="0.35">
      <c r="A7" s="9" t="s">
        <v>41</v>
      </c>
      <c r="B7" s="20">
        <v>46142</v>
      </c>
      <c r="C7" s="9" t="s">
        <v>42</v>
      </c>
      <c r="D7" s="2" t="s">
        <v>43</v>
      </c>
    </row>
    <row r="8" spans="1:4" x14ac:dyDescent="0.35">
      <c r="A8" s="9" t="s">
        <v>44</v>
      </c>
      <c r="B8" s="11">
        <v>3</v>
      </c>
      <c r="C8" s="9" t="s">
        <v>45</v>
      </c>
      <c r="D8" s="2" t="s">
        <v>46</v>
      </c>
    </row>
    <row r="9" spans="1:4" x14ac:dyDescent="0.35">
      <c r="A9" s="9" t="s">
        <v>47</v>
      </c>
      <c r="B9" s="21">
        <v>0.08</v>
      </c>
      <c r="C9" s="9" t="s">
        <v>48</v>
      </c>
      <c r="D9" s="2" t="s">
        <v>49</v>
      </c>
    </row>
    <row r="10" spans="1:4" x14ac:dyDescent="0.35">
      <c r="A10" s="7" t="s">
        <v>50</v>
      </c>
      <c r="B10" s="8"/>
      <c r="C10" s="8"/>
      <c r="D10" s="8"/>
    </row>
    <row r="11" spans="1:4" x14ac:dyDescent="0.35">
      <c r="A11" s="9" t="s">
        <v>51</v>
      </c>
      <c r="B11" s="22">
        <v>14</v>
      </c>
      <c r="C11" s="9" t="s">
        <v>52</v>
      </c>
      <c r="D11" s="2" t="s">
        <v>53</v>
      </c>
    </row>
    <row r="12" spans="1:4" ht="28" x14ac:dyDescent="0.35">
      <c r="A12" s="9" t="s">
        <v>54</v>
      </c>
      <c r="B12" s="23">
        <v>145000</v>
      </c>
      <c r="C12" s="9" t="s">
        <v>55</v>
      </c>
      <c r="D12" s="2" t="s">
        <v>56</v>
      </c>
    </row>
    <row r="13" spans="1:4" ht="28" x14ac:dyDescent="0.35">
      <c r="A13" s="9" t="s">
        <v>57</v>
      </c>
      <c r="B13" s="21">
        <v>0.6</v>
      </c>
      <c r="C13" s="9" t="s">
        <v>48</v>
      </c>
      <c r="D13" s="2" t="s">
        <v>58</v>
      </c>
    </row>
    <row r="14" spans="1:4" ht="28" x14ac:dyDescent="0.35">
      <c r="A14" s="9" t="s">
        <v>59</v>
      </c>
      <c r="B14" s="24">
        <v>0</v>
      </c>
      <c r="C14" s="9" t="s">
        <v>52</v>
      </c>
      <c r="D14" s="2" t="s">
        <v>60</v>
      </c>
    </row>
    <row r="15" spans="1:4" x14ac:dyDescent="0.35">
      <c r="A15" s="9" t="s">
        <v>61</v>
      </c>
      <c r="B15" s="12">
        <v>0</v>
      </c>
      <c r="C15" s="9" t="s">
        <v>62</v>
      </c>
      <c r="D15" s="2" t="s">
        <v>63</v>
      </c>
    </row>
    <row r="16" spans="1:4" x14ac:dyDescent="0.35">
      <c r="A16" s="7" t="s">
        <v>64</v>
      </c>
      <c r="B16" s="8"/>
      <c r="C16" s="8"/>
      <c r="D16" s="8"/>
    </row>
    <row r="17" spans="1:4" x14ac:dyDescent="0.35">
      <c r="A17" s="9" t="s">
        <v>65</v>
      </c>
      <c r="B17" s="22">
        <v>110</v>
      </c>
      <c r="C17" s="9" t="s">
        <v>66</v>
      </c>
      <c r="D17" s="2" t="s">
        <v>67</v>
      </c>
    </row>
    <row r="18" spans="1:4" ht="28" x14ac:dyDescent="0.35">
      <c r="A18" s="9" t="s">
        <v>68</v>
      </c>
      <c r="B18" s="22">
        <v>18</v>
      </c>
      <c r="C18" s="9" t="s">
        <v>66</v>
      </c>
      <c r="D18" s="2" t="s">
        <v>69</v>
      </c>
    </row>
    <row r="19" spans="1:4" x14ac:dyDescent="0.35">
      <c r="A19" s="9" t="s">
        <v>70</v>
      </c>
      <c r="B19" s="21">
        <v>0.72</v>
      </c>
      <c r="C19" s="9" t="s">
        <v>48</v>
      </c>
      <c r="D19" s="2" t="s">
        <v>71</v>
      </c>
    </row>
    <row r="20" spans="1:4" ht="28" x14ac:dyDescent="0.35">
      <c r="A20" s="9" t="s">
        <v>72</v>
      </c>
      <c r="B20" s="21">
        <v>0.88</v>
      </c>
      <c r="C20" s="9" t="s">
        <v>48</v>
      </c>
      <c r="D20" s="2" t="s">
        <v>73</v>
      </c>
    </row>
    <row r="21" spans="1:4" x14ac:dyDescent="0.35">
      <c r="A21" s="7" t="s">
        <v>74</v>
      </c>
      <c r="B21" s="8"/>
      <c r="C21" s="8"/>
      <c r="D21" s="8"/>
    </row>
    <row r="22" spans="1:4" ht="28" x14ac:dyDescent="0.35">
      <c r="A22" s="9" t="s">
        <v>75</v>
      </c>
      <c r="B22" s="23">
        <v>13500</v>
      </c>
      <c r="C22" s="9" t="s">
        <v>76</v>
      </c>
      <c r="D22" s="2" t="s">
        <v>77</v>
      </c>
    </row>
    <row r="23" spans="1:4" ht="28" x14ac:dyDescent="0.35">
      <c r="A23" s="9" t="s">
        <v>78</v>
      </c>
      <c r="B23" s="25">
        <v>0.42</v>
      </c>
      <c r="C23" s="9" t="s">
        <v>79</v>
      </c>
      <c r="D23" s="2" t="s">
        <v>80</v>
      </c>
    </row>
    <row r="24" spans="1:4" ht="28" x14ac:dyDescent="0.35">
      <c r="A24" s="9" t="s">
        <v>81</v>
      </c>
      <c r="B24" s="22">
        <v>1200</v>
      </c>
      <c r="C24" s="9" t="s">
        <v>82</v>
      </c>
      <c r="D24" s="2" t="s">
        <v>83</v>
      </c>
    </row>
    <row r="25" spans="1:4" x14ac:dyDescent="0.35">
      <c r="A25" s="7" t="s">
        <v>84</v>
      </c>
      <c r="B25" s="8"/>
      <c r="C25" s="8"/>
      <c r="D25" s="8"/>
    </row>
    <row r="26" spans="1:4" ht="28" x14ac:dyDescent="0.35">
      <c r="A26" s="9" t="s">
        <v>85</v>
      </c>
      <c r="B26" s="25">
        <v>0</v>
      </c>
      <c r="C26" s="9" t="s">
        <v>55</v>
      </c>
      <c r="D26" s="2" t="s">
        <v>86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4.5" x14ac:dyDescent="0.35"/>
  <cols>
    <col min="1" max="1" width="44" customWidth="1"/>
    <col min="2" max="5" width="18" customWidth="1"/>
    <col min="6" max="6" width="48" customWidth="1"/>
  </cols>
  <sheetData>
    <row r="1" spans="1:2" ht="18" x14ac:dyDescent="0.4">
      <c r="A1" s="4" t="s">
        <v>87</v>
      </c>
    </row>
    <row r="2" spans="1:2" x14ac:dyDescent="0.35">
      <c r="A2" s="9" t="s">
        <v>88</v>
      </c>
    </row>
    <row r="4" spans="1:2" x14ac:dyDescent="0.35">
      <c r="A4" s="7" t="s">
        <v>89</v>
      </c>
    </row>
    <row r="5" spans="1:2" x14ac:dyDescent="0.35">
      <c r="A5" t="s">
        <v>90</v>
      </c>
      <c r="B5" s="13">
        <f>Inputs!$B$11*Inputs!$B$12*Inputs!$B$13</f>
        <v>1218000</v>
      </c>
    </row>
    <row r="6" spans="1:2" x14ac:dyDescent="0.35">
      <c r="A6" t="s">
        <v>91</v>
      </c>
      <c r="B6" s="13">
        <f>Inputs!$B$14*Inputs!$B$15</f>
        <v>0</v>
      </c>
    </row>
    <row r="7" spans="1:2" x14ac:dyDescent="0.35">
      <c r="A7" t="s">
        <v>92</v>
      </c>
      <c r="B7" s="14">
        <f>B5+B6</f>
        <v>1218000</v>
      </c>
    </row>
    <row r="9" spans="1:2" x14ac:dyDescent="0.35">
      <c r="A9" s="7" t="s">
        <v>93</v>
      </c>
    </row>
    <row r="10" spans="1:2" x14ac:dyDescent="0.35">
      <c r="A10" t="s">
        <v>94</v>
      </c>
      <c r="B10" s="13">
        <f>Inputs!$B$22*12</f>
        <v>162000</v>
      </c>
    </row>
    <row r="11" spans="1:2" x14ac:dyDescent="0.35">
      <c r="A11" t="s">
        <v>95</v>
      </c>
      <c r="B11" s="13">
        <f>Inputs!$B$24*12*Inputs!$B$23</f>
        <v>6048</v>
      </c>
    </row>
    <row r="12" spans="1:2" x14ac:dyDescent="0.35">
      <c r="A12" t="s">
        <v>96</v>
      </c>
      <c r="B12" s="14">
        <f>B10+B11</f>
        <v>168048</v>
      </c>
    </row>
    <row r="14" spans="1:2" x14ac:dyDescent="0.35">
      <c r="A14" s="7" t="s">
        <v>97</v>
      </c>
    </row>
    <row r="15" spans="1:2" x14ac:dyDescent="0.35">
      <c r="A15" t="s">
        <v>98</v>
      </c>
      <c r="B15" s="15">
        <f>Inputs!$B$19*B7</f>
        <v>876960</v>
      </c>
    </row>
    <row r="16" spans="1:2" x14ac:dyDescent="0.35">
      <c r="A16" t="s">
        <v>99</v>
      </c>
      <c r="B16" s="15">
        <f>Inputs!$B$26</f>
        <v>0</v>
      </c>
    </row>
    <row r="17" spans="1:5" x14ac:dyDescent="0.35">
      <c r="A17" t="s">
        <v>100</v>
      </c>
      <c r="B17" s="15">
        <f>B15+B16</f>
        <v>876960</v>
      </c>
    </row>
    <row r="18" spans="1:5" x14ac:dyDescent="0.35">
      <c r="A18" t="s">
        <v>101</v>
      </c>
      <c r="B18" s="15">
        <f>-B12</f>
        <v>-168048</v>
      </c>
    </row>
    <row r="19" spans="1:5" x14ac:dyDescent="0.35">
      <c r="A19" t="s">
        <v>102</v>
      </c>
      <c r="B19" s="14">
        <f>B17+B18</f>
        <v>708912</v>
      </c>
    </row>
    <row r="21" spans="1:5" x14ac:dyDescent="0.35">
      <c r="A21" s="7" t="s">
        <v>103</v>
      </c>
    </row>
    <row r="22" spans="1:5" x14ac:dyDescent="0.35">
      <c r="A22" t="s">
        <v>104</v>
      </c>
      <c r="B22" s="26">
        <v>180000</v>
      </c>
      <c r="C22" s="9" t="s">
        <v>105</v>
      </c>
    </row>
    <row r="23" spans="1:5" x14ac:dyDescent="0.35">
      <c r="A23" t="s">
        <v>106</v>
      </c>
      <c r="B23" s="16">
        <f>IFERROR(IF(ISBLANK(B19),"fill inputs",IF(B19=0,"fill inputs",IF(B19&lt;0,"no payback at current inputs",B22/B19*12))),"fill inputs")</f>
        <v>3.0469226081657523</v>
      </c>
      <c r="C23" s="9" t="s">
        <v>107</v>
      </c>
    </row>
    <row r="24" spans="1:5" x14ac:dyDescent="0.35">
      <c r="A24" t="s">
        <v>108</v>
      </c>
      <c r="B24" s="14">
        <f>B19*MIN(Inputs!$B$8,3)-B22</f>
        <v>1946736</v>
      </c>
    </row>
    <row r="25" spans="1:5" x14ac:dyDescent="0.35">
      <c r="A25" t="s">
        <v>109</v>
      </c>
      <c r="B25" s="17">
        <f>IFERROR(B19*((1-(1+Inputs!$B$9)^-Inputs!$B$8)/Inputs!$B$9)-B22,"fill inputs")</f>
        <v>1646934.9794238694</v>
      </c>
    </row>
    <row r="27" spans="1:5" x14ac:dyDescent="0.35">
      <c r="A27" s="7" t="s">
        <v>110</v>
      </c>
    </row>
    <row r="28" spans="1:5" x14ac:dyDescent="0.35">
      <c r="A28" s="6" t="s">
        <v>111</v>
      </c>
      <c r="B28" s="6" t="s">
        <v>112</v>
      </c>
      <c r="C28" s="6" t="s">
        <v>113</v>
      </c>
      <c r="D28" s="6" t="s">
        <v>114</v>
      </c>
      <c r="E28" s="6" t="s">
        <v>115</v>
      </c>
    </row>
    <row r="29" spans="1:5" x14ac:dyDescent="0.35">
      <c r="A29" s="9" t="s">
        <v>116</v>
      </c>
      <c r="B29" s="17">
        <f>IF(Inputs!$B$8&gt;=1,B19,0)</f>
        <v>708912</v>
      </c>
      <c r="C29" s="18">
        <f>IF(Inputs!$B$8&gt;=1,1/(1+Inputs!$B$9)^1,0)</f>
        <v>0.92592592592592582</v>
      </c>
      <c r="D29" s="17">
        <f>B29*C29</f>
        <v>656399.99999999988</v>
      </c>
      <c r="E29" s="17">
        <f>D29-B22</f>
        <v>476399.99999999988</v>
      </c>
    </row>
    <row r="30" spans="1:5" x14ac:dyDescent="0.35">
      <c r="A30" s="9" t="s">
        <v>117</v>
      </c>
      <c r="B30" s="17">
        <f>IF(Inputs!$B$8&gt;=2,B19,0)</f>
        <v>708912</v>
      </c>
      <c r="C30" s="18">
        <f>IF(Inputs!$B$8&gt;=2,1/(1+Inputs!$B$9)^2,0)</f>
        <v>0.85733882030178321</v>
      </c>
      <c r="D30" s="17">
        <f>B30*C30</f>
        <v>607777.77777777775</v>
      </c>
      <c r="E30" s="17">
        <f>E29+D30</f>
        <v>1084177.7777777775</v>
      </c>
    </row>
    <row r="31" spans="1:5" x14ac:dyDescent="0.35">
      <c r="A31" s="9" t="s">
        <v>118</v>
      </c>
      <c r="B31" s="17">
        <f>IF(Inputs!$B$8&gt;=3,B19,0)</f>
        <v>708912</v>
      </c>
      <c r="C31" s="18">
        <f>IF(Inputs!$B$8&gt;=3,1/(1+Inputs!$B$9)^3,0)</f>
        <v>0.79383224102016958</v>
      </c>
      <c r="D31" s="17">
        <f>B31*C31</f>
        <v>562757.20164609049</v>
      </c>
      <c r="E31" s="17">
        <f>E30+D31</f>
        <v>1646934.979423868</v>
      </c>
    </row>
    <row r="32" spans="1:5" x14ac:dyDescent="0.35">
      <c r="A32" s="9" t="s">
        <v>119</v>
      </c>
      <c r="B32" s="17">
        <f>IF(Inputs!$B$8&gt;=4,B19,0)</f>
        <v>0</v>
      </c>
      <c r="C32" s="18">
        <f>IF(Inputs!$B$8&gt;=4,1/(1+Inputs!$B$9)^4,0)</f>
        <v>0</v>
      </c>
      <c r="D32" s="17">
        <f>B32*C32</f>
        <v>0</v>
      </c>
      <c r="E32" s="17">
        <f>E31+D32</f>
        <v>1646934.979423868</v>
      </c>
    </row>
    <row r="33" spans="1:5" x14ac:dyDescent="0.35">
      <c r="A33" s="9" t="s">
        <v>120</v>
      </c>
      <c r="B33" s="17">
        <f>IF(Inputs!$B$8&gt;=5,B19,0)</f>
        <v>0</v>
      </c>
      <c r="C33" s="18">
        <f>IF(Inputs!$B$8&gt;=5,1/(1+Inputs!$B$9)^5,0)</f>
        <v>0</v>
      </c>
      <c r="D33" s="17">
        <f>B33*C33</f>
        <v>0</v>
      </c>
      <c r="E33" s="17">
        <f>E32+D33</f>
        <v>1646934.979423868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5" x14ac:dyDescent="0.35"/>
  <cols>
    <col min="1" max="1" width="38" customWidth="1"/>
    <col min="2" max="4" width="18" customWidth="1"/>
    <col min="5" max="5" width="48" customWidth="1"/>
  </cols>
  <sheetData>
    <row r="1" spans="1:5" ht="18" x14ac:dyDescent="0.4">
      <c r="A1" s="4" t="s">
        <v>121</v>
      </c>
    </row>
    <row r="2" spans="1:5" ht="30" customHeight="1" x14ac:dyDescent="0.35">
      <c r="A2" s="5" t="s">
        <v>122</v>
      </c>
    </row>
    <row r="4" spans="1:5" x14ac:dyDescent="0.35">
      <c r="A4" s="6" t="s">
        <v>123</v>
      </c>
      <c r="B4" s="6" t="s">
        <v>124</v>
      </c>
      <c r="C4" s="6" t="s">
        <v>125</v>
      </c>
      <c r="D4" s="6" t="s">
        <v>126</v>
      </c>
      <c r="E4" s="6" t="s">
        <v>35</v>
      </c>
    </row>
    <row r="5" spans="1:5" ht="28" x14ac:dyDescent="0.35">
      <c r="A5" s="9" t="s">
        <v>127</v>
      </c>
      <c r="B5" s="9" t="s">
        <v>128</v>
      </c>
      <c r="C5" s="27">
        <f>Inputs!$B$17*60*1000</f>
        <v>6600000</v>
      </c>
      <c r="D5" s="27">
        <f>Inputs!$B$18*60*1000</f>
        <v>1080000</v>
      </c>
      <c r="E5" s="2" t="s">
        <v>129</v>
      </c>
    </row>
    <row r="6" spans="1:5" ht="28" x14ac:dyDescent="0.35">
      <c r="A6" s="9" t="s">
        <v>130</v>
      </c>
      <c r="B6" s="9" t="s">
        <v>48</v>
      </c>
      <c r="C6" s="28">
        <v>0</v>
      </c>
      <c r="D6" s="28">
        <f>Inputs!$B$19</f>
        <v>0.72</v>
      </c>
      <c r="E6" s="2" t="s">
        <v>131</v>
      </c>
    </row>
    <row r="7" spans="1:5" ht="28" x14ac:dyDescent="0.35">
      <c r="A7" s="9" t="s">
        <v>132</v>
      </c>
      <c r="B7" s="9" t="s">
        <v>48</v>
      </c>
      <c r="C7" s="28">
        <v>1</v>
      </c>
      <c r="D7" s="28">
        <f>Inputs!$B$20</f>
        <v>0.88</v>
      </c>
      <c r="E7" s="2" t="s">
        <v>133</v>
      </c>
    </row>
    <row r="11" spans="1:5" x14ac:dyDescent="0.35">
      <c r="A11" s="7" t="s">
        <v>134</v>
      </c>
    </row>
    <row r="12" spans="1:5" ht="45" customHeight="1" x14ac:dyDescent="0.35">
      <c r="A12" s="2" t="s">
        <v>135</v>
      </c>
    </row>
    <row r="14" spans="1:5" ht="260" customHeight="1" x14ac:dyDescent="0.35">
      <c r="A14" s="19" t="s">
        <v>136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ROI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Langley</cp:lastModifiedBy>
  <dcterms:created xsi:type="dcterms:W3CDTF">2026-04-24T01:33:05Z</dcterms:created>
  <dcterms:modified xsi:type="dcterms:W3CDTF">2026-04-30T20:32:33Z</dcterms:modified>
</cp:coreProperties>
</file>